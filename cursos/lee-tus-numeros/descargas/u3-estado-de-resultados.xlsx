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6C8"/>
      </patternFill>
    </fill>
    <fill>
      <patternFill patternType="solid">
        <fgColor rgb="00F6F6F7"/>
      </patternFill>
    </fill>
    <fill>
      <patternFill patternType="solid">
        <fgColor rgb="001414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3" fillId="5" borderId="0" pivotButton="0" quotePrefix="0" xfId="0"/>
    <xf numFmtId="164" fontId="3" fillId="5" borderId="0" pivotButton="0" quotePrefix="0" xfId="0"/>
    <xf numFmtId="165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>
      <c r="A1" s="1" t="inlineStr">
        <is>
          <t>Lee tus números · Estado de resultados del mes</t>
        </is>
      </c>
    </row>
    <row r="2">
      <c r="A2" t="inlineStr">
        <is>
          <t>Escribe tus números en las celdas amarillas. Lo demás se calcula solo.</t>
        </is>
      </c>
    </row>
    <row r="3">
      <c r="A3" t="inlineStr">
        <is>
          <t>Negocio:</t>
        </is>
      </c>
    </row>
    <row r="4">
      <c r="A4" t="inlineStr">
        <is>
          <t>Mes:</t>
        </is>
      </c>
    </row>
    <row r="5">
      <c r="A5" s="2" t="inlineStr">
        <is>
          <t>Concepto</t>
        </is>
      </c>
      <c r="B5" s="2" t="inlineStr">
        <is>
          <t>Valor</t>
        </is>
      </c>
    </row>
    <row r="6">
      <c r="A6" t="inlineStr">
        <is>
          <t>Ventas del mes</t>
        </is>
      </c>
      <c r="B6" s="3" t="n"/>
    </row>
    <row r="7">
      <c r="A7" t="inlineStr">
        <is>
          <t>− Costo de lo vendido</t>
        </is>
      </c>
      <c r="B7" s="3" t="n"/>
    </row>
    <row r="8">
      <c r="A8" s="4">
        <f> UTILIDAD BRUTA</f>
        <v/>
      </c>
      <c r="B8" s="5">
        <f>B6-B7</f>
        <v/>
      </c>
    </row>
    <row r="9">
      <c r="A9" t="inlineStr">
        <is>
          <t>− Arriendo</t>
        </is>
      </c>
      <c r="B9" s="3" t="n"/>
    </row>
    <row r="10">
      <c r="A10" t="inlineStr">
        <is>
          <t>− Servicios e internet</t>
        </is>
      </c>
      <c r="B10" s="3" t="n"/>
    </row>
    <row r="11">
      <c r="A11" t="inlineStr">
        <is>
          <t>− Sueldos de quien te ayuda</t>
        </is>
      </c>
      <c r="B11" s="3" t="n"/>
    </row>
    <row r="12">
      <c r="A12" t="inlineStr">
        <is>
          <t>− Tu sueldo</t>
        </is>
      </c>
      <c r="B12" s="3" t="n"/>
    </row>
    <row r="13">
      <c r="A13" t="inlineStr">
        <is>
          <t>− Otros gastos</t>
        </is>
      </c>
      <c r="B13" s="3" t="n"/>
    </row>
    <row r="14">
      <c r="A14" s="4">
        <f> Total gastos</f>
        <v/>
      </c>
      <c r="B14" s="5">
        <f>SUM(B9:B13)</f>
        <v/>
      </c>
    </row>
    <row r="15">
      <c r="A15" s="6">
        <f> UTILIDAD DEL MES</f>
        <v/>
      </c>
      <c r="B15" s="7">
        <f>B8-B14</f>
        <v/>
      </c>
    </row>
    <row r="16">
      <c r="A16" s="6" t="inlineStr">
        <is>
          <t>Margen (utilidad ÷ ventas)</t>
        </is>
      </c>
      <c r="B16" s="8">
        <f>IF(B6=0,"",B15/B6)</f>
        <v/>
      </c>
    </row>
    <row r="18">
      <c r="A18" t="inlineStr">
        <is>
          <t>Ejemplo (cifras inventadas): Marisol, papelería. Ventas $4.500.000, costo $2.250.000, gastos $1.800.000 → utilidad $450.000, margen 10 %.</t>
        </is>
      </c>
    </row>
    <row r="19">
      <c r="A19" t="inlineStr">
        <is>
          <t>Para un banco o una entidad, un contador te ayuda a dejarlo oficial. Aula Virtual Empresarial · Cámara de Comercio de Soacha.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2026-10-20T22:11:57Z</dcterms:created>
  <dcterms:modified xmlns:dcterms="http://purl.org/dc/terms/" xmlns:xsi="http://www.w3.org/2001/XMLSchema-instance" xsi:type="dcterms:W3CDTF">2026-10-20T22:11:57Z</dcterms:modified>
</cp:coreProperties>
</file>